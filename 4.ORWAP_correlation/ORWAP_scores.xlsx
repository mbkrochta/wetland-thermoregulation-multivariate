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bkro\OneDrive\Documents\Krochta_JFE\ORWAP_correlation\"/>
    </mc:Choice>
  </mc:AlternateContent>
  <xr:revisionPtr revIDLastSave="0" documentId="13_ncr:1_{CCF19323-932C-40C2-8FDE-A40611C4F9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/Esej0h17rgI+sOtghunMl3xiOOeU5hUQH2hoYnIlI="/>
    </ext>
  </extLst>
</workbook>
</file>

<file path=xl/calcChain.xml><?xml version="1.0" encoding="utf-8"?>
<calcChain xmlns="http://schemas.openxmlformats.org/spreadsheetml/2006/main">
  <c r="Z8" i="1" l="1"/>
  <c r="Y8" i="1"/>
  <c r="X8" i="1"/>
  <c r="W8" i="1"/>
  <c r="V8" i="1" s="1"/>
  <c r="Z7" i="1"/>
  <c r="V7" i="1" s="1"/>
  <c r="Y7" i="1"/>
  <c r="X7" i="1"/>
  <c r="W7" i="1"/>
  <c r="Z6" i="1"/>
  <c r="Y6" i="1"/>
  <c r="X6" i="1"/>
  <c r="W6" i="1"/>
  <c r="V6" i="1"/>
  <c r="Z5" i="1"/>
  <c r="Y5" i="1"/>
  <c r="X5" i="1"/>
  <c r="W5" i="1"/>
  <c r="V5" i="1" s="1"/>
  <c r="Z4" i="1"/>
  <c r="Y4" i="1"/>
  <c r="V4" i="1" s="1"/>
  <c r="X4" i="1"/>
  <c r="W4" i="1"/>
  <c r="Z3" i="1"/>
  <c r="Y3" i="1"/>
  <c r="X3" i="1"/>
  <c r="W3" i="1"/>
  <c r="V3" i="1"/>
  <c r="Z2" i="1"/>
  <c r="Y2" i="1"/>
  <c r="X2" i="1"/>
  <c r="W2" i="1"/>
  <c r="V2" i="1"/>
</calcChain>
</file>

<file path=xl/sharedStrings.xml><?xml version="1.0" encoding="utf-8"?>
<sst xmlns="http://schemas.openxmlformats.org/spreadsheetml/2006/main" count="35" uniqueCount="35">
  <si>
    <t>site</t>
  </si>
  <si>
    <t>Hydropd(0-4)</t>
  </si>
  <si>
    <t>Hydropd_Norm</t>
  </si>
  <si>
    <t>DepthDom(0-6)</t>
  </si>
  <si>
    <t>DepthDom_Norm</t>
  </si>
  <si>
    <t>EmPct(0-4)</t>
  </si>
  <si>
    <t>EmPct_Norm</t>
  </si>
  <si>
    <t>WoodyDryShade(0-5)</t>
  </si>
  <si>
    <t>WoodyDryShade_Norm</t>
  </si>
  <si>
    <t>WidthWet(1)</t>
  </si>
  <si>
    <t>WidthWet_norm</t>
  </si>
  <si>
    <t>PondWpctDry(0-5)</t>
  </si>
  <si>
    <t>PondWpctDry_Norm</t>
  </si>
  <si>
    <t>Groundw(0-4)</t>
  </si>
  <si>
    <t>Groundw_Norm</t>
  </si>
  <si>
    <t>WoodyPct(0-6)</t>
  </si>
  <si>
    <t>WoodyPct_Norm</t>
  </si>
  <si>
    <t>Gcover(0-4)</t>
  </si>
  <si>
    <t>Gcover_Norm</t>
  </si>
  <si>
    <t>TotalScore</t>
  </si>
  <si>
    <t>Total_Norm</t>
  </si>
  <si>
    <t>Thermoreg_Score</t>
  </si>
  <si>
    <t>Groundw2x</t>
  </si>
  <si>
    <t>WoodyDryShade</t>
  </si>
  <si>
    <t>VegStructure</t>
  </si>
  <si>
    <t>HydroDepth</t>
  </si>
  <si>
    <t>Sub1_out</t>
  </si>
  <si>
    <t>Sub2_out</t>
  </si>
  <si>
    <t>Anvil</t>
  </si>
  <si>
    <t>Butte</t>
  </si>
  <si>
    <t>Cooper</t>
  </si>
  <si>
    <t>Crater</t>
  </si>
  <si>
    <t>Hideaway</t>
  </si>
  <si>
    <t>Pint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</si>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</sst>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Border="1"/>
    <xf numFmtId="0" fontId="3" fillId="2" borderId="0" xfId="0" applyFont="1" applyFill="1" applyBorder="1"/>
    <xf numFmtId="0" fontId="2" fillId="2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0"/>
  <sheetViews>
    <sheetView tabSelected="1" workbookViewId="0">
      <selection activeCell="E13" sqref="E13"/>
    </sheetView>
  </sheetViews>
  <sheetFormatPr defaultColWidth="12.6640625" defaultRowHeight="15" customHeight="1" x14ac:dyDescent="0.25"/>
  <cols>
    <col min="5" max="5" width="14" customWidth="1"/>
    <col min="8" max="8" width="17.109375" customWidth="1"/>
    <col min="12" max="12" width="14.77734375" customWidth="1"/>
    <col min="21" max="21" width="13.109375" customWidth="1"/>
    <col min="22" max="22" width="19.6640625" customWidth="1"/>
    <col min="23" max="23" width="20.6640625" customWidth="1"/>
    <col min="24" max="24" width="24.44140625" customWidth="1"/>
    <col min="25" max="25" width="21.6640625" customWidth="1"/>
    <col min="26" max="26" width="21" customWidth="1"/>
  </cols>
  <sheetData>
    <row r="1" spans="1:28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2" t="s">
        <v>26</v>
      </c>
      <c r="AB1" s="2" t="s">
        <v>27</v>
      </c>
    </row>
    <row r="2" spans="1:28" ht="15.75" customHeight="1" x14ac:dyDescent="0.25">
      <c r="A2" s="3" t="s">
        <v>28</v>
      </c>
      <c r="B2" s="3">
        <v>0</v>
      </c>
      <c r="C2" s="3">
        <v>0</v>
      </c>
      <c r="D2" s="3">
        <v>2</v>
      </c>
      <c r="E2" s="3">
        <v>0.33333333333333331</v>
      </c>
      <c r="F2" s="3">
        <v>2</v>
      </c>
      <c r="G2" s="3">
        <v>0.5</v>
      </c>
      <c r="H2" s="3">
        <v>2</v>
      </c>
      <c r="I2" s="3">
        <v>0.4</v>
      </c>
      <c r="J2" s="3">
        <v>1</v>
      </c>
      <c r="K2" s="3">
        <v>1</v>
      </c>
      <c r="L2" s="3">
        <v>3</v>
      </c>
      <c r="M2" s="3">
        <v>0.6</v>
      </c>
      <c r="N2" s="3">
        <v>4</v>
      </c>
      <c r="O2" s="3">
        <v>1</v>
      </c>
      <c r="P2" s="3">
        <v>3</v>
      </c>
      <c r="Q2" s="3">
        <v>0.5</v>
      </c>
      <c r="R2" s="3">
        <v>3</v>
      </c>
      <c r="S2" s="3">
        <v>0.75</v>
      </c>
      <c r="T2" s="3">
        <v>20</v>
      </c>
      <c r="U2" s="3">
        <v>5.0833333333333339</v>
      </c>
      <c r="V2" s="3">
        <f t="shared" ref="V2:V8" si="0">SUM(W2:Z2)/4</f>
        <v>0.84965277777777781</v>
      </c>
      <c r="W2" s="3">
        <f t="shared" ref="W2:W8" si="1">O2*2</f>
        <v>2</v>
      </c>
      <c r="X2" s="3">
        <f t="shared" ref="X2:X8" si="2">I2</f>
        <v>0.4</v>
      </c>
      <c r="Y2" s="3">
        <f t="shared" ref="Y2:Y8" si="3">(K2+Q2+G2+S2)/4</f>
        <v>0.6875</v>
      </c>
      <c r="Z2" s="3">
        <f t="shared" ref="Z2:Z8" si="4">(C2+E2+M2)/3</f>
        <v>0.31111111111111112</v>
      </c>
      <c r="AA2" s="3">
        <v>1.66</v>
      </c>
      <c r="AB2" s="3">
        <v>1.33</v>
      </c>
    </row>
    <row r="3" spans="1:28" ht="15.75" customHeight="1" x14ac:dyDescent="0.25">
      <c r="A3" s="3" t="s">
        <v>29</v>
      </c>
      <c r="B3" s="3">
        <v>0</v>
      </c>
      <c r="C3" s="3">
        <v>0</v>
      </c>
      <c r="D3" s="3">
        <v>0</v>
      </c>
      <c r="E3" s="3">
        <v>0</v>
      </c>
      <c r="F3" s="3">
        <v>4</v>
      </c>
      <c r="G3" s="3">
        <v>1</v>
      </c>
      <c r="H3" s="3">
        <v>4</v>
      </c>
      <c r="I3" s="3">
        <v>0.8</v>
      </c>
      <c r="J3" s="3">
        <v>1</v>
      </c>
      <c r="K3" s="3">
        <v>1</v>
      </c>
      <c r="L3" s="3">
        <v>5</v>
      </c>
      <c r="M3" s="3">
        <v>1</v>
      </c>
      <c r="N3" s="3">
        <v>4</v>
      </c>
      <c r="O3" s="3">
        <v>1</v>
      </c>
      <c r="P3" s="3">
        <v>4</v>
      </c>
      <c r="Q3" s="3">
        <v>0.66666666666666663</v>
      </c>
      <c r="R3" s="3">
        <v>4</v>
      </c>
      <c r="S3" s="3">
        <v>1</v>
      </c>
      <c r="T3" s="3">
        <v>26</v>
      </c>
      <c r="U3" s="3">
        <v>6.4666666666666668</v>
      </c>
      <c r="V3" s="3">
        <f t="shared" si="0"/>
        <v>1.0125</v>
      </c>
      <c r="W3" s="3">
        <f t="shared" si="1"/>
        <v>2</v>
      </c>
      <c r="X3" s="3">
        <f t="shared" si="2"/>
        <v>0.8</v>
      </c>
      <c r="Y3" s="3">
        <f t="shared" si="3"/>
        <v>0.91666666666666663</v>
      </c>
      <c r="Z3" s="3">
        <f t="shared" si="4"/>
        <v>0.33333333333333331</v>
      </c>
      <c r="AA3" s="3">
        <v>1.51</v>
      </c>
      <c r="AB3" s="3">
        <v>1.48</v>
      </c>
    </row>
    <row r="4" spans="1:28" ht="15.75" customHeight="1" x14ac:dyDescent="0.25">
      <c r="A4" s="3" t="s">
        <v>30</v>
      </c>
      <c r="B4" s="3">
        <v>0</v>
      </c>
      <c r="C4" s="3">
        <v>0</v>
      </c>
      <c r="D4" s="3">
        <v>1</v>
      </c>
      <c r="E4" s="3">
        <v>0.16666666666666666</v>
      </c>
      <c r="F4" s="3">
        <v>2</v>
      </c>
      <c r="G4" s="3">
        <v>0.5</v>
      </c>
      <c r="H4" s="3">
        <v>4</v>
      </c>
      <c r="I4" s="3">
        <v>0.8</v>
      </c>
      <c r="J4" s="3">
        <v>1</v>
      </c>
      <c r="K4" s="3">
        <v>1</v>
      </c>
      <c r="L4" s="3">
        <v>3</v>
      </c>
      <c r="M4" s="3">
        <v>0.6</v>
      </c>
      <c r="N4" s="3">
        <v>4</v>
      </c>
      <c r="O4" s="3">
        <v>1</v>
      </c>
      <c r="P4" s="3">
        <v>5</v>
      </c>
      <c r="Q4" s="3">
        <v>0.83333333333333337</v>
      </c>
      <c r="R4" s="3">
        <v>4</v>
      </c>
      <c r="S4" s="3">
        <v>1</v>
      </c>
      <c r="T4" s="3">
        <v>24</v>
      </c>
      <c r="U4" s="3">
        <v>5.8999999999999995</v>
      </c>
      <c r="V4" s="3">
        <f t="shared" si="0"/>
        <v>0.97222222222222221</v>
      </c>
      <c r="W4" s="3">
        <f t="shared" si="1"/>
        <v>2</v>
      </c>
      <c r="X4" s="3">
        <f t="shared" si="2"/>
        <v>0.8</v>
      </c>
      <c r="Y4" s="3">
        <f t="shared" si="3"/>
        <v>0.83333333333333337</v>
      </c>
      <c r="Z4" s="3">
        <f t="shared" si="4"/>
        <v>0.25555555555555554</v>
      </c>
      <c r="AA4" s="3">
        <v>1.22</v>
      </c>
      <c r="AB4" s="3">
        <v>1.85</v>
      </c>
    </row>
    <row r="5" spans="1:28" ht="15.75" customHeight="1" x14ac:dyDescent="0.25">
      <c r="A5" s="3" t="s">
        <v>31</v>
      </c>
      <c r="B5" s="3">
        <v>0</v>
      </c>
      <c r="C5" s="3">
        <v>0</v>
      </c>
      <c r="D5" s="3">
        <v>2</v>
      </c>
      <c r="E5" s="3">
        <v>0.33333333333333331</v>
      </c>
      <c r="F5" s="3">
        <v>3</v>
      </c>
      <c r="G5" s="3">
        <v>0.75</v>
      </c>
      <c r="H5" s="3">
        <v>3</v>
      </c>
      <c r="I5" s="3">
        <v>0.6</v>
      </c>
      <c r="J5" s="3">
        <v>1</v>
      </c>
      <c r="K5" s="3">
        <v>1</v>
      </c>
      <c r="L5" s="3">
        <v>3</v>
      </c>
      <c r="M5" s="3">
        <v>0.6</v>
      </c>
      <c r="N5" s="3">
        <v>4</v>
      </c>
      <c r="O5" s="3">
        <v>1</v>
      </c>
      <c r="P5" s="3">
        <v>5</v>
      </c>
      <c r="Q5" s="3">
        <v>0.83333333333333337</v>
      </c>
      <c r="R5" s="3">
        <v>4</v>
      </c>
      <c r="S5" s="3">
        <v>1</v>
      </c>
      <c r="T5" s="3">
        <v>25</v>
      </c>
      <c r="U5" s="3">
        <v>6.1166666666666663</v>
      </c>
      <c r="V5" s="3">
        <f t="shared" si="0"/>
        <v>0.95173611111111112</v>
      </c>
      <c r="W5" s="3">
        <f t="shared" si="1"/>
        <v>2</v>
      </c>
      <c r="X5" s="3">
        <f t="shared" si="2"/>
        <v>0.6</v>
      </c>
      <c r="Y5" s="3">
        <f t="shared" si="3"/>
        <v>0.89583333333333337</v>
      </c>
      <c r="Z5" s="3">
        <f t="shared" si="4"/>
        <v>0.31111111111111112</v>
      </c>
      <c r="AA5" s="3">
        <v>0.83699999999999997</v>
      </c>
      <c r="AB5" s="3">
        <v>0.64900000000000002</v>
      </c>
    </row>
    <row r="6" spans="1:28" ht="15.75" customHeight="1" x14ac:dyDescent="0.25">
      <c r="A6" s="3" t="s">
        <v>32</v>
      </c>
      <c r="B6" s="3">
        <v>0</v>
      </c>
      <c r="C6" s="3">
        <v>0</v>
      </c>
      <c r="D6" s="3">
        <v>2</v>
      </c>
      <c r="E6" s="3">
        <v>0.33333333333333331</v>
      </c>
      <c r="F6" s="3">
        <v>2</v>
      </c>
      <c r="G6" s="3">
        <v>0.5</v>
      </c>
      <c r="H6" s="3">
        <v>1</v>
      </c>
      <c r="I6" s="3">
        <v>0.2</v>
      </c>
      <c r="J6" s="3">
        <v>1</v>
      </c>
      <c r="K6" s="3">
        <v>1</v>
      </c>
      <c r="L6" s="3">
        <v>3</v>
      </c>
      <c r="M6" s="3">
        <v>0.6</v>
      </c>
      <c r="N6" s="3">
        <v>4</v>
      </c>
      <c r="O6" s="3">
        <v>1</v>
      </c>
      <c r="P6" s="3">
        <v>3</v>
      </c>
      <c r="Q6" s="3">
        <v>0.5</v>
      </c>
      <c r="R6" s="3">
        <v>3</v>
      </c>
      <c r="S6" s="3">
        <v>0.75</v>
      </c>
      <c r="T6" s="3">
        <v>19</v>
      </c>
      <c r="U6" s="3">
        <v>4.8833333333333329</v>
      </c>
      <c r="V6" s="3">
        <f t="shared" si="0"/>
        <v>0.79965277777777777</v>
      </c>
      <c r="W6" s="3">
        <f t="shared" si="1"/>
        <v>2</v>
      </c>
      <c r="X6" s="3">
        <f t="shared" si="2"/>
        <v>0.2</v>
      </c>
      <c r="Y6" s="3">
        <f t="shared" si="3"/>
        <v>0.6875</v>
      </c>
      <c r="Z6" s="3">
        <f t="shared" si="4"/>
        <v>0.31111111111111112</v>
      </c>
      <c r="AA6" s="3">
        <v>1.93</v>
      </c>
      <c r="AB6" s="3">
        <v>2.19</v>
      </c>
    </row>
    <row r="7" spans="1:28" ht="15.75" customHeight="1" x14ac:dyDescent="0.25">
      <c r="A7" s="3" t="s">
        <v>33</v>
      </c>
      <c r="B7" s="3">
        <v>0</v>
      </c>
      <c r="C7" s="3">
        <v>0</v>
      </c>
      <c r="D7" s="3">
        <v>1</v>
      </c>
      <c r="E7" s="3">
        <v>0.16666666666666666</v>
      </c>
      <c r="F7" s="3">
        <v>3</v>
      </c>
      <c r="G7" s="3">
        <v>0.75</v>
      </c>
      <c r="H7" s="3">
        <v>1</v>
      </c>
      <c r="I7" s="3">
        <v>0.2</v>
      </c>
      <c r="J7" s="3">
        <v>1</v>
      </c>
      <c r="K7" s="3">
        <v>1</v>
      </c>
      <c r="L7" s="3">
        <v>3</v>
      </c>
      <c r="M7" s="3">
        <v>0.6</v>
      </c>
      <c r="N7" s="3">
        <v>4</v>
      </c>
      <c r="O7" s="3">
        <v>1</v>
      </c>
      <c r="P7" s="3">
        <v>5</v>
      </c>
      <c r="Q7" s="3">
        <v>0.83333333333333337</v>
      </c>
      <c r="R7" s="3">
        <v>4</v>
      </c>
      <c r="S7" s="3">
        <v>1</v>
      </c>
      <c r="T7" s="3">
        <v>22</v>
      </c>
      <c r="U7" s="3">
        <v>5.55</v>
      </c>
      <c r="V7" s="3">
        <f t="shared" si="0"/>
        <v>0.8378472222222223</v>
      </c>
      <c r="W7" s="3">
        <f t="shared" si="1"/>
        <v>2</v>
      </c>
      <c r="X7" s="3">
        <f t="shared" si="2"/>
        <v>0.2</v>
      </c>
      <c r="Y7" s="3">
        <f t="shared" si="3"/>
        <v>0.89583333333333337</v>
      </c>
      <c r="Z7" s="3">
        <f t="shared" si="4"/>
        <v>0.25555555555555554</v>
      </c>
      <c r="AA7" s="3">
        <v>0.73599999999999999</v>
      </c>
      <c r="AB7" s="3">
        <v>0.66200000000000003</v>
      </c>
    </row>
    <row r="8" spans="1:28" ht="15.75" customHeight="1" x14ac:dyDescent="0.25">
      <c r="A8" s="3" t="s">
        <v>34</v>
      </c>
      <c r="B8" s="3">
        <v>0</v>
      </c>
      <c r="C8" s="3">
        <v>0</v>
      </c>
      <c r="D8" s="3">
        <v>1</v>
      </c>
      <c r="E8" s="3">
        <v>0.16666666666666666</v>
      </c>
      <c r="F8" s="3">
        <v>4</v>
      </c>
      <c r="G8" s="3">
        <v>1</v>
      </c>
      <c r="H8" s="3">
        <v>5</v>
      </c>
      <c r="I8" s="3">
        <v>1</v>
      </c>
      <c r="J8" s="3">
        <v>1</v>
      </c>
      <c r="K8" s="3">
        <v>1</v>
      </c>
      <c r="L8" s="3">
        <v>4</v>
      </c>
      <c r="M8" s="3">
        <v>0.8</v>
      </c>
      <c r="N8" s="3">
        <v>4</v>
      </c>
      <c r="O8" s="3">
        <v>1</v>
      </c>
      <c r="P8" s="3">
        <v>5</v>
      </c>
      <c r="Q8" s="3">
        <v>0.83333333333333337</v>
      </c>
      <c r="R8" s="3">
        <v>4</v>
      </c>
      <c r="S8" s="3">
        <v>1</v>
      </c>
      <c r="T8" s="3">
        <v>27</v>
      </c>
      <c r="U8" s="3">
        <v>5.8</v>
      </c>
      <c r="V8" s="3">
        <f t="shared" si="0"/>
        <v>1.070138888888889</v>
      </c>
      <c r="W8" s="3">
        <f t="shared" si="1"/>
        <v>2</v>
      </c>
      <c r="X8" s="3">
        <f t="shared" si="2"/>
        <v>1</v>
      </c>
      <c r="Y8" s="3">
        <f t="shared" si="3"/>
        <v>0.95833333333333337</v>
      </c>
      <c r="Z8" s="3">
        <f t="shared" si="4"/>
        <v>0.32222222222222224</v>
      </c>
      <c r="AA8" s="3">
        <v>0.75800000000000001</v>
      </c>
      <c r="AB8" s="3">
        <v>0.82699999999999996</v>
      </c>
    </row>
    <row r="9" spans="1:28" ht="15.75" customHeight="1" x14ac:dyDescent="0.25">
      <c r="V9" s="1"/>
      <c r="W9" s="1"/>
      <c r="X9" s="1"/>
      <c r="Y9" s="1"/>
    </row>
    <row r="10" spans="1:28" ht="15.75" customHeight="1" x14ac:dyDescent="0.25">
      <c r="V10" s="1"/>
      <c r="W10" s="1"/>
      <c r="X10" s="1"/>
      <c r="Y10" s="1"/>
    </row>
    <row r="11" spans="1:28" ht="15.75" customHeight="1" x14ac:dyDescent="0.25"/>
    <row r="12" spans="1:28" ht="15.75" customHeight="1" x14ac:dyDescent="0.25"/>
    <row r="13" spans="1:28" ht="15.75" customHeight="1" x14ac:dyDescent="0.25"/>
    <row r="14" spans="1:28" ht="15.75" customHeight="1" x14ac:dyDescent="0.25"/>
    <row r="15" spans="1:28" ht="15.75" customHeight="1" x14ac:dyDescent="0.25"/>
    <row r="16" spans="1:2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Krochta</cp:lastModifiedBy>
  <dcterms:modified xsi:type="dcterms:W3CDTF">2025-11-11T19:00:28Z</dcterms:modified>
</cp:coreProperties>
</file>